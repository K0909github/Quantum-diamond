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2.xml" ContentType="application/vnd.openxmlformats-officedocument.themeOverrid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6776ucoop-my.sharepoint.com/personal/224067731_6776ucoop_onmicrosoft_com/Documents/"/>
    </mc:Choice>
  </mc:AlternateContent>
  <xr:revisionPtr revIDLastSave="476" documentId="8_{1DCA0E02-CE4B-4CF8-8E6E-3B533F60F6B0}" xr6:coauthVersionLast="47" xr6:coauthVersionMax="47" xr10:uidLastSave="{8BDAC5D9-46E7-468F-A8FA-36BEF1A6C62C}"/>
  <bookViews>
    <workbookView xWindow="-110" yWindow="-110" windowWidth="19420" windowHeight="10300" xr2:uid="{8C53B568-17A9-42F6-B22A-7BBABD153D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1" l="1"/>
  <c r="F57" i="1"/>
  <c r="F58" i="1"/>
  <c r="F59" i="1"/>
  <c r="F36" i="1"/>
  <c r="F35" i="1"/>
  <c r="G23" i="1"/>
  <c r="G24" i="1"/>
  <c r="E31" i="1"/>
  <c r="E32" i="1"/>
  <c r="E33" i="1"/>
  <c r="E34" i="1"/>
  <c r="E30" i="1"/>
  <c r="G22" i="1"/>
</calcChain>
</file>

<file path=xl/sharedStrings.xml><?xml version="1.0" encoding="utf-8"?>
<sst xmlns="http://schemas.openxmlformats.org/spreadsheetml/2006/main" count="29" uniqueCount="23">
  <si>
    <t>cluster10</t>
    <phoneticPr fontId="1"/>
  </si>
  <si>
    <t>mono</t>
    <phoneticPr fontId="1"/>
  </si>
  <si>
    <t>kev/atom</t>
    <phoneticPr fontId="1"/>
  </si>
  <si>
    <t>N平均深さ</t>
    <rPh sb="1" eb="3">
      <t>ヘイキン</t>
    </rPh>
    <rPh sb="3" eb="4">
      <t>フカ</t>
    </rPh>
    <phoneticPr fontId="1"/>
  </si>
  <si>
    <t>クラスターサイズ</t>
    <phoneticPr fontId="1"/>
  </si>
  <si>
    <t>1回目</t>
    <rPh sb="1" eb="3">
      <t>カイメ</t>
    </rPh>
    <phoneticPr fontId="1"/>
  </si>
  <si>
    <t>2回目</t>
    <rPh sb="1" eb="3">
      <t>カイメ</t>
    </rPh>
    <phoneticPr fontId="1"/>
  </si>
  <si>
    <t>3回目</t>
    <rPh sb="1" eb="3">
      <t>カイメ</t>
    </rPh>
    <phoneticPr fontId="1"/>
  </si>
  <si>
    <t>平均</t>
    <rPh sb="0" eb="2">
      <t>ヘイキン</t>
    </rPh>
    <phoneticPr fontId="1"/>
  </si>
  <si>
    <t>加速電圧70keV</t>
    <rPh sb="0" eb="4">
      <t>カソクデンアツ</t>
    </rPh>
    <phoneticPr fontId="1"/>
  </si>
  <si>
    <t>クラスターサイズ10</t>
    <phoneticPr fontId="1"/>
  </si>
  <si>
    <t>加速電圧(keV)</t>
    <rPh sb="0" eb="4">
      <t>カソクデンアツ</t>
    </rPh>
    <phoneticPr fontId="1"/>
  </si>
  <si>
    <t>vacancy</t>
    <phoneticPr fontId="1"/>
  </si>
  <si>
    <t>run2</t>
    <phoneticPr fontId="1"/>
  </si>
  <si>
    <t>空孔数run1</t>
    <rPh sb="0" eb="3">
      <t>クウコウスウ</t>
    </rPh>
    <phoneticPr fontId="1"/>
  </si>
  <si>
    <t>run3</t>
    <phoneticPr fontId="1"/>
  </si>
  <si>
    <t>50keV</t>
    <phoneticPr fontId="1"/>
  </si>
  <si>
    <t>70keV</t>
    <phoneticPr fontId="1"/>
  </si>
  <si>
    <t>clustersize</t>
    <phoneticPr fontId="1"/>
  </si>
  <si>
    <t>size4.6</t>
    <phoneticPr fontId="1"/>
  </si>
  <si>
    <t>size50</t>
    <phoneticPr fontId="1"/>
  </si>
  <si>
    <t>dami</t>
    <phoneticPr fontId="1"/>
  </si>
  <si>
    <t>7energy/atom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</si>
</sst>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>
                <a:latin typeface="Meiryo" panose="020B0604030504040204" pitchFamily="34" charset="-128"/>
                <a:ea typeface="Meiryo" panose="020B0604030504040204" pitchFamily="34" charset="-128"/>
              </a:rPr>
              <a:t>クラスター効果の検証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クラスター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Sheet1!$D$3:$D$5</c:f>
              <c:numCache>
                <c:formatCode>General</c:formatCode>
                <c:ptCount val="3"/>
                <c:pt idx="0">
                  <c:v>0.5</c:v>
                </c:pt>
                <c:pt idx="1">
                  <c:v>5</c:v>
                </c:pt>
                <c:pt idx="2">
                  <c:v>7</c:v>
                </c:pt>
              </c:numCache>
            </c:numRef>
          </c:xVal>
          <c:yVal>
            <c:numRef>
              <c:f>Sheet1!$E$3:$E$5</c:f>
              <c:numCache>
                <c:formatCode>General</c:formatCode>
                <c:ptCount val="3"/>
                <c:pt idx="0">
                  <c:v>9.2200000000000006</c:v>
                </c:pt>
                <c:pt idx="1">
                  <c:v>38.409999999999997</c:v>
                </c:pt>
                <c:pt idx="2">
                  <c:v>47.35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57-4479-B4B1-CA87AB7C21F7}"/>
            </c:ext>
          </c:extLst>
        </c:ser>
        <c:ser>
          <c:idx val="1"/>
          <c:order val="1"/>
          <c:tx>
            <c:v>モノマー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Sheet1!$D$6:$D$7</c:f>
              <c:numCache>
                <c:formatCode>General</c:formatCode>
                <c:ptCount val="2"/>
                <c:pt idx="0">
                  <c:v>5</c:v>
                </c:pt>
                <c:pt idx="1">
                  <c:v>7</c:v>
                </c:pt>
              </c:numCache>
            </c:numRef>
          </c:xVal>
          <c:yVal>
            <c:numRef>
              <c:f>Sheet1!$E$6:$E$7</c:f>
              <c:numCache>
                <c:formatCode>General</c:formatCode>
                <c:ptCount val="2"/>
                <c:pt idx="0">
                  <c:v>98.86</c:v>
                </c:pt>
                <c:pt idx="1">
                  <c:v>129.9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57-4479-B4B1-CA87AB7C2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794064"/>
        <c:axId val="1051793104"/>
      </c:scatterChart>
      <c:scatterChart>
        <c:scatterStyle val="lineMarker"/>
        <c:varyColors val="0"/>
        <c:ser>
          <c:idx val="2"/>
          <c:order val="2"/>
          <c:tx>
            <c:v>dami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Sheet1!$D$3:$D$5</c:f>
              <c:numCache>
                <c:formatCode>General</c:formatCode>
                <c:ptCount val="3"/>
                <c:pt idx="0">
                  <c:v>0.5</c:v>
                </c:pt>
                <c:pt idx="1">
                  <c:v>5</c:v>
                </c:pt>
                <c:pt idx="2">
                  <c:v>7</c:v>
                </c:pt>
              </c:numCache>
            </c:numRef>
          </c:xVal>
          <c:yVal>
            <c:numRef>
              <c:f>Sheet1!$E$3:$E$5</c:f>
              <c:numCache>
                <c:formatCode>General</c:formatCode>
                <c:ptCount val="3"/>
                <c:pt idx="0">
                  <c:v>9.2200000000000006</c:v>
                </c:pt>
                <c:pt idx="1">
                  <c:v>38.409999999999997</c:v>
                </c:pt>
                <c:pt idx="2">
                  <c:v>47.35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22D-4FB2-94CB-0B7EFCABB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478736"/>
        <c:axId val="162465296"/>
      </c:scatterChart>
      <c:valAx>
        <c:axId val="10517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>
                    <a:latin typeface="Meiryo" panose="020B0604030504040204" pitchFamily="34" charset="-128"/>
                    <a:ea typeface="Meiryo" panose="020B0604030504040204" pitchFamily="34" charset="-128"/>
                  </a:rPr>
                  <a:t>keV/atom</a:t>
                </a:r>
                <a:endParaRPr lang="ja-JP" altLang="en-US">
                  <a:latin typeface="Meiryo" panose="020B0604030504040204" pitchFamily="34" charset="-128"/>
                  <a:ea typeface="Meiryo" panose="020B0604030504040204" pitchFamily="34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1793104"/>
        <c:crosses val="autoZero"/>
        <c:crossBetween val="midCat"/>
      </c:valAx>
      <c:valAx>
        <c:axId val="10517931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>
                    <a:latin typeface="Meiryo" panose="020B0604030504040204" pitchFamily="34" charset="-128"/>
                    <a:ea typeface="Meiryo" panose="020B0604030504040204" pitchFamily="34" charset="-128"/>
                  </a:rPr>
                  <a:t>N</a:t>
                </a:r>
                <a:r>
                  <a:rPr lang="ja-JP" altLang="en-US">
                    <a:latin typeface="Meiryo" panose="020B0604030504040204" pitchFamily="34" charset="-128"/>
                    <a:ea typeface="Meiryo" panose="020B0604030504040204" pitchFamily="34" charset="-128"/>
                  </a:rPr>
                  <a:t>平均深さ</a:t>
                </a:r>
                <a:r>
                  <a:rPr lang="en-US" altLang="ja-JP">
                    <a:latin typeface="Meiryo" panose="020B0604030504040204" pitchFamily="34" charset="-128"/>
                    <a:ea typeface="Meiryo" panose="020B0604030504040204" pitchFamily="34" charset="-128"/>
                  </a:rPr>
                  <a:t>(Å)</a:t>
                </a:r>
                <a:endParaRPr lang="ja-JP" altLang="en-US">
                  <a:latin typeface="Meiryo" panose="020B0604030504040204" pitchFamily="34" charset="-128"/>
                  <a:ea typeface="Meiryo" panose="020B0604030504040204" pitchFamily="34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1794064"/>
        <c:crosses val="autoZero"/>
        <c:crossBetween val="midCat"/>
      </c:valAx>
      <c:valAx>
        <c:axId val="16246529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478736"/>
        <c:crosses val="max"/>
        <c:crossBetween val="midCat"/>
      </c:valAx>
      <c:valAx>
        <c:axId val="162478736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465296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Meiryo" panose="020B0604030504040204" pitchFamily="34" charset="-128"/>
                <a:ea typeface="Meiryo" panose="020B0604030504040204" pitchFamily="34" charset="-128"/>
                <a:cs typeface="+mn-cs"/>
              </a:defRPr>
            </a:pPr>
            <a:r>
              <a:rPr lang="ja-JP" altLang="en-US"/>
              <a:t>クラスター効果の検証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Meiryo" panose="020B0604030504040204" pitchFamily="34" charset="-128"/>
              <a:ea typeface="Meiryo" panose="020B0604030504040204" pitchFamily="34" charset="-128"/>
              <a:cs typeface="+mn-cs"/>
            </a:defRPr>
          </a:pPr>
          <a:endParaRPr lang="en-US" alt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クラスター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Sheet1!$D$3:$D$5</c:f>
              <c:numCache>
                <c:formatCode>General</c:formatCode>
                <c:ptCount val="3"/>
                <c:pt idx="0">
                  <c:v>0.5</c:v>
                </c:pt>
                <c:pt idx="1">
                  <c:v>5</c:v>
                </c:pt>
                <c:pt idx="2">
                  <c:v>7</c:v>
                </c:pt>
              </c:numCache>
            </c:numRef>
          </c:xVal>
          <c:yVal>
            <c:numRef>
              <c:f>Sheet1!$E$3:$E$5</c:f>
              <c:numCache>
                <c:formatCode>General</c:formatCode>
                <c:ptCount val="3"/>
                <c:pt idx="0">
                  <c:v>9.2200000000000006</c:v>
                </c:pt>
                <c:pt idx="1">
                  <c:v>38.409999999999997</c:v>
                </c:pt>
                <c:pt idx="2">
                  <c:v>47.35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A9-4F1A-9CBC-004D580C5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812864"/>
        <c:axId val="1272815264"/>
      </c:scatterChart>
      <c:scatterChart>
        <c:scatterStyle val="smoothMarker"/>
        <c:varyColors val="0"/>
        <c:ser>
          <c:idx val="1"/>
          <c:order val="1"/>
          <c:tx>
            <c:v>モノマー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xVal>
            <c:numRef>
              <c:f>Sheet1!$D$6:$D$7</c:f>
              <c:numCache>
                <c:formatCode>General</c:formatCode>
                <c:ptCount val="2"/>
                <c:pt idx="0">
                  <c:v>5</c:v>
                </c:pt>
                <c:pt idx="1">
                  <c:v>7</c:v>
                </c:pt>
              </c:numCache>
            </c:numRef>
          </c:xVal>
          <c:yVal>
            <c:numRef>
              <c:f>Sheet1!$E$6:$E$7</c:f>
              <c:numCache>
                <c:formatCode>General</c:formatCode>
                <c:ptCount val="2"/>
                <c:pt idx="0">
                  <c:v>98.86</c:v>
                </c:pt>
                <c:pt idx="1">
                  <c:v>129.9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A9-4F1A-9CBC-004D580C5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944288"/>
        <c:axId val="1143922688"/>
      </c:scatterChart>
      <c:valAx>
        <c:axId val="1272812864"/>
        <c:scaling>
          <c:orientation val="minMax"/>
          <c:max val="1800"/>
          <c:min val="1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Meiryo" panose="020B0604030504040204" pitchFamily="34" charset="-128"/>
                    <a:ea typeface="Meiryo" panose="020B0604030504040204" pitchFamily="34" charset="-128"/>
                    <a:cs typeface="+mn-cs"/>
                  </a:defRPr>
                </a:pPr>
                <a:r>
                  <a:rPr lang="ja-JP" altLang="en-US"/>
                  <a:t>タイトル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Meiryo" panose="020B0604030504040204" pitchFamily="34" charset="-128"/>
                  <a:ea typeface="Meiryo" panose="020B0604030504040204" pitchFamily="34" charset="-128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Meiryo" panose="020B0604030504040204" pitchFamily="34" charset="-128"/>
                <a:ea typeface="Meiryo" panose="020B0604030504040204" pitchFamily="34" charset="-128"/>
                <a:cs typeface="+mn-cs"/>
              </a:defRPr>
            </a:pPr>
            <a:endParaRPr lang="ja-JP"/>
          </a:p>
        </c:txPr>
        <c:crossAx val="1272815264"/>
        <c:crosses val="autoZero"/>
        <c:crossBetween val="midCat"/>
        <c:minorUnit val="200"/>
      </c:valAx>
      <c:valAx>
        <c:axId val="127281526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Meiryo" panose="020B0604030504040204" pitchFamily="34" charset="-128"/>
                    <a:ea typeface="Meiryo" panose="020B0604030504040204" pitchFamily="34" charset="-128"/>
                    <a:cs typeface="+mn-cs"/>
                  </a:defRPr>
                </a:pPr>
                <a:r>
                  <a:rPr lang="ja-JP" altLang="en-US"/>
                  <a:t>タイトル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Meiryo" panose="020B0604030504040204" pitchFamily="34" charset="-128"/>
                  <a:ea typeface="Meiryo" panose="020B0604030504040204" pitchFamily="34" charset="-128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crossAx val="1272812864"/>
        <c:crosses val="autoZero"/>
        <c:crossBetween val="midCat"/>
      </c:valAx>
      <c:valAx>
        <c:axId val="1143922688"/>
        <c:scaling>
          <c:orientation val="minMax"/>
          <c:max val="12000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Meiryo" panose="020B0604030504040204" pitchFamily="34" charset="-128"/>
                <a:ea typeface="Meiryo" panose="020B0604030504040204" pitchFamily="34" charset="-128"/>
                <a:cs typeface="+mn-cs"/>
              </a:defRPr>
            </a:pPr>
            <a:endParaRPr lang="ja-JP"/>
          </a:p>
        </c:txPr>
        <c:crossAx val="1143944288"/>
        <c:crosses val="max"/>
        <c:crossBetween val="midCat"/>
      </c:valAx>
      <c:valAx>
        <c:axId val="1143944288"/>
        <c:scaling>
          <c:orientation val="minMax"/>
          <c:max val="4500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Meiryo" panose="020B0604030504040204" pitchFamily="34" charset="-128"/>
                <a:ea typeface="Meiryo" panose="020B0604030504040204" pitchFamily="34" charset="-128"/>
                <a:cs typeface="+mn-cs"/>
              </a:defRPr>
            </a:pPr>
            <a:endParaRPr lang="ja-JP"/>
          </a:p>
        </c:txPr>
        <c:crossAx val="1143922688"/>
        <c:crosses val="max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Meiryo" panose="020B0604030504040204" pitchFamily="34" charset="-128"/>
          <a:ea typeface="Meiryo" panose="020B0604030504040204" pitchFamily="34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1" i="0" u="none" strike="noStrike" baseline="0">
                <a:effectLst/>
              </a:rPr>
              <a:t>NV</a:t>
            </a:r>
            <a:r>
              <a:rPr lang="ja-JP" altLang="ja-JP" sz="1400" b="1" i="0" u="none" strike="noStrike" baseline="0">
                <a:effectLst/>
              </a:rPr>
              <a:t>センター良条件の検証</a:t>
            </a:r>
            <a:r>
              <a:rPr lang="en-US" altLang="ja-JP" sz="1400" b="1" i="0" u="none" strike="noStrike" baseline="0">
                <a:effectLst/>
              </a:rPr>
              <a:t>(N</a:t>
            </a:r>
            <a:r>
              <a:rPr lang="ja-JP" altLang="ja-JP" sz="1400" b="1" i="0" u="none" strike="noStrike" baseline="0">
                <a:effectLst/>
              </a:rPr>
              <a:t>原子</a:t>
            </a:r>
            <a:r>
              <a:rPr lang="en-US" altLang="ja-JP" sz="1400" b="1" i="0" u="none" strike="noStrike" baseline="0">
                <a:effectLst/>
              </a:rPr>
              <a:t>)</a:t>
            </a:r>
          </a:p>
          <a:p>
            <a:pPr>
              <a:defRPr/>
            </a:pPr>
            <a:r>
              <a:rPr lang="ja-JP" altLang="en-US" sz="1400" b="1" i="0" u="none" strike="noStrike" baseline="0">
                <a:effectLst/>
              </a:rPr>
              <a:t>加速電圧</a:t>
            </a:r>
            <a:r>
              <a:rPr lang="en-US" altLang="ja-JP" sz="1400" b="1" i="0" u="none" strike="noStrike" baseline="0">
                <a:effectLst/>
              </a:rPr>
              <a:t>70keV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75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numRef>
              <c:f>Sheet1!$C$19:$C$23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numCache>
            </c:numRef>
          </c:cat>
          <c:val>
            <c:numRef>
              <c:f>Sheet1!$G$19:$G$23</c:f>
              <c:numCache>
                <c:formatCode>General</c:formatCode>
                <c:ptCount val="5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4-4B7B-B78C-F1D983740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6787088"/>
        <c:axId val="282981456"/>
      </c:barChart>
      <c:catAx>
        <c:axId val="189678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ysClr val="windowText" lastClr="000000"/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クラスターサイズ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82981456"/>
        <c:crosses val="autoZero"/>
        <c:auto val="1"/>
        <c:lblAlgn val="ctr"/>
        <c:lblOffset val="100"/>
        <c:tickMarkSkip val="1"/>
        <c:noMultiLvlLbl val="1"/>
      </c:catAx>
      <c:valAx>
        <c:axId val="282981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>
                    <a:latin typeface="Meiryo" panose="020B0604030504040204" pitchFamily="34" charset="-128"/>
                    <a:ea typeface="Meiryo" panose="020B0604030504040204" pitchFamily="34" charset="-128"/>
                  </a:rPr>
                  <a:t>NV</a:t>
                </a:r>
                <a:r>
                  <a:rPr lang="ja-JP" altLang="en-US">
                    <a:latin typeface="Meiryo" panose="020B0604030504040204" pitchFamily="34" charset="-128"/>
                    <a:ea typeface="Meiryo" panose="020B0604030504040204" pitchFamily="34" charset="-128"/>
                  </a:rPr>
                  <a:t>センター良条件下の</a:t>
                </a:r>
                <a:r>
                  <a:rPr lang="en-US" altLang="ja-JP">
                    <a:latin typeface="Meiryo" panose="020B0604030504040204" pitchFamily="34" charset="-128"/>
                    <a:ea typeface="Meiryo" panose="020B0604030504040204" pitchFamily="34" charset="-128"/>
                  </a:rPr>
                  <a:t>N</a:t>
                </a:r>
                <a:r>
                  <a:rPr lang="ja-JP" altLang="en-US">
                    <a:latin typeface="Meiryo" panose="020B0604030504040204" pitchFamily="34" charset="-128"/>
                    <a:ea typeface="Meiryo" panose="020B0604030504040204" pitchFamily="34" charset="-128"/>
                  </a:rPr>
                  <a:t>原子</a:t>
                </a:r>
                <a:r>
                  <a:rPr lang="en-US" altLang="ja-JP">
                    <a:latin typeface="Meiryo" panose="020B0604030504040204" pitchFamily="34" charset="-128"/>
                    <a:ea typeface="Meiryo" panose="020B0604030504040204" pitchFamily="34" charset="-128"/>
                  </a:rPr>
                  <a:t>(</a:t>
                </a:r>
                <a:r>
                  <a:rPr lang="ja-JP" altLang="en-US">
                    <a:latin typeface="Meiryo" panose="020B0604030504040204" pitchFamily="34" charset="-128"/>
                    <a:ea typeface="Meiryo" panose="020B0604030504040204" pitchFamily="34" charset="-128"/>
                  </a:rPr>
                  <a:t>個</a:t>
                </a:r>
                <a:r>
                  <a:rPr lang="en-US" altLang="ja-JP">
                    <a:latin typeface="Meiryo" panose="020B0604030504040204" pitchFamily="34" charset="-128"/>
                    <a:ea typeface="Meiryo" panose="020B0604030504040204" pitchFamily="34" charset="-128"/>
                  </a:rPr>
                  <a:t>)</a:t>
                </a:r>
                <a:endParaRPr lang="ja-JP" altLang="en-US">
                  <a:latin typeface="Meiryo" panose="020B0604030504040204" pitchFamily="34" charset="-128"/>
                  <a:ea typeface="Meiryo" panose="020B0604030504040204" pitchFamily="34" charset="-128"/>
                </a:endParaRPr>
              </a:p>
            </c:rich>
          </c:tx>
          <c:layout>
            <c:manualLayout>
              <c:xMode val="edge"/>
              <c:yMode val="edge"/>
              <c:x val="2.5000000000000001E-2"/>
              <c:y val="0.117731481481481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896787088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NV</a:t>
            </a:r>
            <a:r>
              <a:rPr lang="ja-JP" altLang="ja-JP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センター良条件の検証</a:t>
            </a:r>
            <a:r>
              <a:rPr lang="en-US" altLang="ja-JP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(N</a:t>
            </a:r>
            <a:r>
              <a:rPr lang="ja-JP" altLang="ja-JP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原子</a:t>
            </a:r>
            <a:r>
              <a:rPr lang="en-US" altLang="ja-JP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</a:t>
            </a:r>
          </a:p>
          <a:p>
            <a:pPr>
              <a:defRPr/>
            </a:pPr>
            <a:r>
              <a:rPr lang="ja-JP" alt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クラスターサイズ</a:t>
            </a:r>
            <a:r>
              <a:rPr lang="en-US" altLang="ja-JP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10</a:t>
            </a:r>
            <a:endParaRPr lang="ja-JP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3E6-4EDC-B8C4-24FB1256F820}"/>
              </c:ext>
            </c:extLst>
          </c:dPt>
          <c:xVal>
            <c:numRef>
              <c:f>Sheet1!$J$32:$J$33</c:f>
              <c:numCache>
                <c:formatCode>General</c:formatCode>
                <c:ptCount val="2"/>
                <c:pt idx="0">
                  <c:v>50</c:v>
                </c:pt>
                <c:pt idx="1">
                  <c:v>70</c:v>
                </c:pt>
              </c:numCache>
            </c:numRef>
          </c:xVal>
          <c:yVal>
            <c:numRef>
              <c:f>Sheet1!$K$32:$K$33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FE-4240-A1A2-28C8E597F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00416"/>
        <c:axId val="318158400"/>
      </c:scatterChart>
      <c:scatterChart>
        <c:scatterStyle val="lineMarker"/>
        <c:varyColors val="0"/>
        <c:ser>
          <c:idx val="1"/>
          <c:order val="1"/>
          <c:tx>
            <c:v>dami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Sheet1!$J$32</c:f>
              <c:numCache>
                <c:formatCode>General</c:formatCode>
                <c:ptCount val="1"/>
                <c:pt idx="0">
                  <c:v>50</c:v>
                </c:pt>
              </c:numCache>
            </c:numRef>
          </c:xVal>
          <c:yVal>
            <c:numRef>
              <c:f>Sheet1!$K$32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FE-4240-A1A2-28C8E597F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844768"/>
        <c:axId val="307842368"/>
      </c:scatterChart>
      <c:valAx>
        <c:axId val="321300416"/>
        <c:scaling>
          <c:orientation val="minMax"/>
          <c:max val="70"/>
          <c:min val="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latin typeface="Meiryo" panose="020B0604030504040204" pitchFamily="34" charset="-128"/>
                    <a:ea typeface="Meiryo" panose="020B0604030504040204" pitchFamily="34" charset="-128"/>
                  </a:rPr>
                  <a:t>加速電圧</a:t>
                </a:r>
                <a:r>
                  <a:rPr lang="en-US" altLang="ja-JP">
                    <a:latin typeface="Meiryo" panose="020B0604030504040204" pitchFamily="34" charset="-128"/>
                    <a:ea typeface="Meiryo" panose="020B0604030504040204" pitchFamily="34" charset="-128"/>
                  </a:rPr>
                  <a:t>(keV)</a:t>
                </a:r>
                <a:endParaRPr lang="ja-JP" altLang="en-US">
                  <a:latin typeface="Meiryo" panose="020B0604030504040204" pitchFamily="34" charset="-128"/>
                  <a:ea typeface="Meiryo" panose="020B0604030504040204" pitchFamily="34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18158400"/>
        <c:crosses val="autoZero"/>
        <c:crossBetween val="midCat"/>
        <c:majorUnit val="10"/>
      </c:valAx>
      <c:valAx>
        <c:axId val="318158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NV</a:t>
                </a: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センター良条件下の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N</a:t>
                </a: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原子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(</a:t>
                </a: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個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)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Meiryo" panose="020B0604030504040204" pitchFamily="34" charset="-128"/>
                  <a:ea typeface="Meiryo" panose="020B0604030504040204" pitchFamily="34" charset="-128"/>
                </a:endParaRPr>
              </a:p>
            </c:rich>
          </c:tx>
          <c:layout>
            <c:manualLayout>
              <c:xMode val="edge"/>
              <c:yMode val="edge"/>
              <c:x val="3.6111111111111108E-2"/>
              <c:y val="0.142870370370370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1300416"/>
        <c:crosses val="autoZero"/>
        <c:crossBetween val="midCat"/>
      </c:valAx>
      <c:valAx>
        <c:axId val="30784236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7844768"/>
        <c:crosses val="max"/>
        <c:crossBetween val="midCat"/>
      </c:valAx>
      <c:valAx>
        <c:axId val="30784476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7842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NV</a:t>
            </a:r>
            <a:r>
              <a:rPr lang="ja-JP" altLang="ja-JP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センター良条件の検証</a:t>
            </a:r>
            <a:r>
              <a:rPr lang="en-US" altLang="ja-JP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(N</a:t>
            </a:r>
            <a:r>
              <a:rPr lang="ja-JP" altLang="ja-JP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原子</a:t>
            </a:r>
            <a:r>
              <a:rPr lang="en-US" altLang="ja-JP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</a:t>
            </a:r>
          </a:p>
          <a:p>
            <a:pPr>
              <a:defRPr/>
            </a:pPr>
            <a:r>
              <a:rPr lang="ja-JP" alt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クラスターサイズ</a:t>
            </a:r>
            <a:r>
              <a:rPr lang="en-US" altLang="ja-JP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10</a:t>
            </a:r>
            <a:endParaRPr lang="ja-JP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>
                <a:lumMod val="50000"/>
                <a:lumOff val="50000"/>
              </a:schemeClr>
            </a:solidFill>
            <a:ln w="12700">
              <a:solidFill>
                <a:sysClr val="windowText" lastClr="000000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2700" cap="rnd">
                <a:solidFill>
                  <a:sysClr val="windowText" lastClr="0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05-4A73-BD82-C51B02B66A11}"/>
              </c:ext>
            </c:extLst>
          </c:dPt>
          <c:cat>
            <c:numRef>
              <c:f>Sheet1!$J$32:$J$33</c:f>
              <c:numCache>
                <c:formatCode>General</c:formatCode>
                <c:ptCount val="2"/>
                <c:pt idx="0">
                  <c:v>50</c:v>
                </c:pt>
                <c:pt idx="1">
                  <c:v>70</c:v>
                </c:pt>
              </c:numCache>
            </c:numRef>
          </c:cat>
          <c:val>
            <c:numRef>
              <c:f>Sheet1!$K$32:$K$33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05-4A73-BD82-C51B02B66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1300416"/>
        <c:axId val="318158400"/>
      </c:barChart>
      <c:barChart>
        <c:barDir val="col"/>
        <c:grouping val="clustered"/>
        <c:varyColors val="0"/>
        <c:ser>
          <c:idx val="1"/>
          <c:order val="1"/>
          <c:spPr>
            <a:noFill/>
            <a:ln w="25400">
              <a:noFill/>
            </a:ln>
            <a:effectLst/>
          </c:spPr>
          <c:invertIfNegative val="0"/>
          <c:cat>
            <c:numRef>
              <c:f>Sheet1!$J$32</c:f>
              <c:numCache>
                <c:formatCode>General</c:formatCode>
                <c:ptCount val="1"/>
                <c:pt idx="0">
                  <c:v>50</c:v>
                </c:pt>
              </c:numCache>
            </c:numRef>
          </c:cat>
          <c:val>
            <c:numRef>
              <c:f>Sheet1!$K$32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dami</c:v>
                </c15:tx>
              </c15:filteredSeriesTitle>
            </c:ext>
            <c:ext xmlns:c16="http://schemas.microsoft.com/office/drawing/2014/chart" uri="{C3380CC4-5D6E-409C-BE32-E72D297353CC}">
              <c16:uniqueId val="{00000003-C405-4A73-BD82-C51B02B66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3774703"/>
        <c:axId val="1483788623"/>
      </c:barChart>
      <c:catAx>
        <c:axId val="321300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ysClr val="windowText" lastClr="000000"/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加速電圧</a:t>
                </a:r>
                <a:r>
                  <a:rPr lang="en-US" altLang="ja-JP">
                    <a:solidFill>
                      <a:sysClr val="windowText" lastClr="000000"/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(keV)</a:t>
                </a:r>
                <a:endParaRPr lang="ja-JP" altLang="en-US">
                  <a:solidFill>
                    <a:sysClr val="windowText" lastClr="000000"/>
                  </a:solidFill>
                  <a:latin typeface="Meiryo" panose="020B0604030504040204" pitchFamily="34" charset="-128"/>
                  <a:ea typeface="Meiryo" panose="020B0604030504040204" pitchFamily="34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18158400"/>
        <c:crosses val="autoZero"/>
        <c:auto val="1"/>
        <c:lblAlgn val="ctr"/>
        <c:lblOffset val="100"/>
        <c:noMultiLvlLbl val="1"/>
      </c:catAx>
      <c:valAx>
        <c:axId val="318158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000" b="0" i="0" u="none" strike="noStrike" kern="1200" baseline="0">
                    <a:solidFill>
                      <a:sysClr val="windowText" lastClr="000000"/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NV</a:t>
                </a:r>
                <a:r>
                  <a:rPr lang="ja-JP" altLang="en-US" sz="1000" b="0" i="0" u="none" strike="noStrike" kern="1200" baseline="0">
                    <a:solidFill>
                      <a:sysClr val="windowText" lastClr="000000"/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センター良条件下の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/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N</a:t>
                </a:r>
                <a:r>
                  <a:rPr lang="ja-JP" altLang="en-US" sz="1000" b="0" i="0" u="none" strike="noStrike" kern="1200" baseline="0">
                    <a:solidFill>
                      <a:sysClr val="windowText" lastClr="000000"/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原子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/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(</a:t>
                </a:r>
                <a:r>
                  <a:rPr lang="ja-JP" altLang="en-US" sz="1000" b="0" i="0" u="none" strike="noStrike" kern="1200" baseline="0">
                    <a:solidFill>
                      <a:sysClr val="windowText" lastClr="000000"/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個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/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)</a:t>
                </a:r>
                <a:endParaRPr lang="ja-JP" altLang="en-US" sz="1000" b="0" i="0" u="none" strike="noStrike" kern="1200" baseline="0">
                  <a:solidFill>
                    <a:sysClr val="windowText" lastClr="000000"/>
                  </a:solidFill>
                  <a:latin typeface="Meiryo" panose="020B0604030504040204" pitchFamily="34" charset="-128"/>
                  <a:ea typeface="Meiryo" panose="020B0604030504040204" pitchFamily="34" charset="-128"/>
                </a:endParaRPr>
              </a:p>
            </c:rich>
          </c:tx>
          <c:layout>
            <c:manualLayout>
              <c:xMode val="edge"/>
              <c:yMode val="edge"/>
              <c:x val="3.6111111111111108E-2"/>
              <c:y val="0.142870370370370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1300416"/>
        <c:crosses val="autoZero"/>
        <c:crossBetween val="between"/>
      </c:valAx>
      <c:valAx>
        <c:axId val="148378862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83774703"/>
        <c:crosses val="max"/>
        <c:crossBetween val="between"/>
      </c:valAx>
      <c:catAx>
        <c:axId val="1483774703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83788623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1" i="0" u="none" strike="noStrike" baseline="0">
                <a:effectLst/>
              </a:rPr>
              <a:t>NV</a:t>
            </a:r>
            <a:r>
              <a:rPr lang="ja-JP" altLang="ja-JP" sz="1400" b="1" i="0" u="none" strike="noStrike" baseline="0">
                <a:effectLst/>
              </a:rPr>
              <a:t>センター良条件の検証</a:t>
            </a:r>
            <a:r>
              <a:rPr lang="en-US" altLang="ja-JP" sz="1400" b="1" i="0" u="none" strike="noStrike" baseline="0">
                <a:effectLst/>
              </a:rPr>
              <a:t>(N</a:t>
            </a:r>
            <a:r>
              <a:rPr lang="ja-JP" altLang="ja-JP" sz="1400" b="1" i="0" u="none" strike="noStrike" baseline="0">
                <a:effectLst/>
              </a:rPr>
              <a:t>原子</a:t>
            </a:r>
            <a:r>
              <a:rPr lang="en-US" altLang="ja-JP" sz="1400" b="1" i="0" u="none" strike="noStrike" baseline="0">
                <a:effectLst/>
              </a:rPr>
              <a:t>)</a:t>
            </a:r>
          </a:p>
          <a:p>
            <a:pPr>
              <a:defRPr/>
            </a:pPr>
            <a:r>
              <a:rPr lang="ja-JP" altLang="en-US" sz="1400" b="1" i="0" u="none" strike="noStrike" baseline="0">
                <a:effectLst/>
              </a:rPr>
              <a:t>加速電圧</a:t>
            </a:r>
            <a:r>
              <a:rPr lang="en-US" altLang="ja-JP" sz="1400" b="1" i="0" u="none" strike="noStrike" baseline="0">
                <a:effectLst/>
              </a:rPr>
              <a:t>70keV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38100">
              <a:noFill/>
            </a:ln>
            <a:effectLst/>
          </c:spPr>
          <c:invertIfNegative val="0"/>
          <c:cat>
            <c:numRef>
              <c:f>Sheet1!$C$19:$C$22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</c:numCache>
            </c:numRef>
          </c:cat>
          <c:val>
            <c:numRef>
              <c:f>Sheet1!$G$19:$G$22</c:f>
              <c:numCache>
                <c:formatCode>General</c:formatCode>
                <c:ptCount val="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9-4199-8E01-F061582282F6}"/>
            </c:ext>
          </c:extLst>
        </c:ser>
        <c:ser>
          <c:idx val="1"/>
          <c:order val="1"/>
          <c:tx>
            <c:v>dami</c:v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cat>
            <c:numRef>
              <c:f>Sheet1!$C$19:$C$20</c:f>
              <c:numCache>
                <c:formatCode>General</c:formatCode>
                <c:ptCount val="2"/>
                <c:pt idx="0">
                  <c:v>2</c:v>
                </c:pt>
                <c:pt idx="1">
                  <c:v>5</c:v>
                </c:pt>
              </c:numCache>
            </c:numRef>
          </c:cat>
          <c:val>
            <c:numRef>
              <c:f>Sheet1!$G$19:$G$20</c:f>
              <c:numCache>
                <c:formatCode>General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D9-4199-8E01-F06158228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6787088"/>
        <c:axId val="282981456"/>
      </c:barChart>
      <c:catAx>
        <c:axId val="189678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ysClr val="windowText" lastClr="000000"/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クラスターサイズ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2981456"/>
        <c:crosses val="autoZero"/>
        <c:auto val="1"/>
        <c:lblAlgn val="ctr"/>
        <c:lblOffset val="100"/>
        <c:tickMarkSkip val="1"/>
        <c:noMultiLvlLbl val="0"/>
      </c:catAx>
      <c:valAx>
        <c:axId val="282981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>
                    <a:latin typeface="Meiryo" panose="020B0604030504040204" pitchFamily="34" charset="-128"/>
                    <a:ea typeface="Meiryo" panose="020B0604030504040204" pitchFamily="34" charset="-128"/>
                  </a:rPr>
                  <a:t>NV</a:t>
                </a:r>
                <a:r>
                  <a:rPr lang="ja-JP" altLang="en-US">
                    <a:latin typeface="Meiryo" panose="020B0604030504040204" pitchFamily="34" charset="-128"/>
                    <a:ea typeface="Meiryo" panose="020B0604030504040204" pitchFamily="34" charset="-128"/>
                  </a:rPr>
                  <a:t>センター良条件下の</a:t>
                </a:r>
                <a:r>
                  <a:rPr lang="en-US" altLang="ja-JP">
                    <a:latin typeface="Meiryo" panose="020B0604030504040204" pitchFamily="34" charset="-128"/>
                    <a:ea typeface="Meiryo" panose="020B0604030504040204" pitchFamily="34" charset="-128"/>
                  </a:rPr>
                  <a:t>N</a:t>
                </a:r>
                <a:r>
                  <a:rPr lang="ja-JP" altLang="en-US">
                    <a:latin typeface="Meiryo" panose="020B0604030504040204" pitchFamily="34" charset="-128"/>
                    <a:ea typeface="Meiryo" panose="020B0604030504040204" pitchFamily="34" charset="-128"/>
                  </a:rPr>
                  <a:t>原子</a:t>
                </a:r>
                <a:r>
                  <a:rPr lang="en-US" altLang="ja-JP">
                    <a:latin typeface="Meiryo" panose="020B0604030504040204" pitchFamily="34" charset="-128"/>
                    <a:ea typeface="Meiryo" panose="020B0604030504040204" pitchFamily="34" charset="-128"/>
                  </a:rPr>
                  <a:t>(</a:t>
                </a:r>
                <a:r>
                  <a:rPr lang="ja-JP" altLang="en-US">
                    <a:latin typeface="Meiryo" panose="020B0604030504040204" pitchFamily="34" charset="-128"/>
                    <a:ea typeface="Meiryo" panose="020B0604030504040204" pitchFamily="34" charset="-128"/>
                  </a:rPr>
                  <a:t>個</a:t>
                </a:r>
                <a:r>
                  <a:rPr lang="en-US" altLang="ja-JP">
                    <a:latin typeface="Meiryo" panose="020B0604030504040204" pitchFamily="34" charset="-128"/>
                    <a:ea typeface="Meiryo" panose="020B0604030504040204" pitchFamily="34" charset="-128"/>
                  </a:rPr>
                  <a:t>)</a:t>
                </a:r>
                <a:endParaRPr lang="ja-JP" altLang="en-US">
                  <a:latin typeface="Meiryo" panose="020B0604030504040204" pitchFamily="34" charset="-128"/>
                  <a:ea typeface="Meiryo" panose="020B0604030504040204" pitchFamily="34" charset="-128"/>
                </a:endParaRPr>
              </a:p>
            </c:rich>
          </c:tx>
          <c:layout>
            <c:manualLayout>
              <c:xMode val="edge"/>
              <c:yMode val="edge"/>
              <c:x val="2.5000000000000001E-2"/>
              <c:y val="0.117731481481481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9678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>
                <a:solidFill>
                  <a:sysClr val="windowText" lastClr="000000"/>
                </a:solidFill>
                <a:latin typeface="メイリオ" panose="020B0604030504040204" pitchFamily="34" charset="-128"/>
                <a:ea typeface="メイリオ" panose="020B0604030504040204" pitchFamily="34" charset="-128"/>
              </a:rPr>
              <a:t>空孔数解析</a:t>
            </a:r>
            <a:endParaRPr lang="en-US" altLang="ja-JP">
              <a:solidFill>
                <a:sysClr val="windowText" lastClr="000000"/>
              </a:solidFill>
              <a:latin typeface="メイリオ" panose="020B0604030504040204" pitchFamily="34" charset="-128"/>
              <a:ea typeface="メイリオ" panose="020B0604030504040204" pitchFamily="34" charset="-128"/>
            </a:endParaRPr>
          </a:p>
          <a:p>
            <a:pPr>
              <a:defRPr/>
            </a:pPr>
            <a:r>
              <a:rPr lang="ja-JP" altLang="en-US">
                <a:solidFill>
                  <a:sysClr val="windowText" lastClr="000000"/>
                </a:solidFill>
                <a:latin typeface="メイリオ" panose="020B0604030504040204" pitchFamily="34" charset="-128"/>
                <a:ea typeface="メイリオ" panose="020B0604030504040204" pitchFamily="34" charset="-128"/>
              </a:rPr>
              <a:t>加速電圧</a:t>
            </a:r>
            <a:r>
              <a:rPr lang="en-US" altLang="ja-JP">
                <a:solidFill>
                  <a:sysClr val="windowText" lastClr="000000"/>
                </a:solidFill>
                <a:latin typeface="メイリオ" panose="020B0604030504040204" pitchFamily="34" charset="-128"/>
                <a:ea typeface="メイリオ" panose="020B0604030504040204" pitchFamily="34" charset="-128"/>
              </a:rPr>
              <a:t>70keV</a:t>
            </a:r>
            <a:endParaRPr lang="ja-JP" altLang="en-US">
              <a:solidFill>
                <a:sysClr val="windowText" lastClr="000000"/>
              </a:solidFill>
              <a:latin typeface="メイリオ" panose="020B0604030504040204" pitchFamily="34" charset="-128"/>
              <a:ea typeface="メイリオ" panose="020B0604030504040204" pitchFamily="34" charset="-12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Sheet1!$A$30:$A$34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numCache>
            </c:numRef>
          </c:cat>
          <c:val>
            <c:numRef>
              <c:f>Sheet1!$E$30:$E$34</c:f>
              <c:numCache>
                <c:formatCode>General</c:formatCode>
                <c:ptCount val="5"/>
                <c:pt idx="0">
                  <c:v>119.33333333333333</c:v>
                </c:pt>
                <c:pt idx="1">
                  <c:v>563.66666666666663</c:v>
                </c:pt>
                <c:pt idx="2">
                  <c:v>2269.6666666666665</c:v>
                </c:pt>
                <c:pt idx="3">
                  <c:v>2501</c:v>
                </c:pt>
                <c:pt idx="4">
                  <c:v>3322.6666666666665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9-4A66-B4B7-19FE8D0F4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3185152"/>
        <c:axId val="1933194752"/>
      </c:barChart>
      <c:barChart>
        <c:barDir val="col"/>
        <c:grouping val="clustered"/>
        <c:varyColors val="0"/>
        <c:ser>
          <c:idx val="1"/>
          <c:order val="1"/>
          <c:tx>
            <c:v>dami</c:v>
          </c:tx>
          <c:spPr>
            <a:noFill/>
            <a:ln w="38100">
              <a:noFill/>
            </a:ln>
            <a:effectLst/>
          </c:spPr>
          <c:invertIfNegative val="0"/>
          <c:val>
            <c:numRef>
              <c:f>Sheet1!$B$30:$B$34</c:f>
              <c:numCache>
                <c:formatCode>General</c:formatCode>
                <c:ptCount val="5"/>
                <c:pt idx="0">
                  <c:v>120</c:v>
                </c:pt>
                <c:pt idx="1">
                  <c:v>479</c:v>
                </c:pt>
                <c:pt idx="2">
                  <c:v>1996</c:v>
                </c:pt>
                <c:pt idx="3">
                  <c:v>1817</c:v>
                </c:pt>
                <c:pt idx="4">
                  <c:v>4448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59-4A66-B4B7-19FE8D0F4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5606000"/>
        <c:axId val="1735607920"/>
      </c:barChart>
      <c:catAx>
        <c:axId val="1933185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ysClr val="windowText" lastClr="000000"/>
                    </a:solidFill>
                    <a:latin typeface="メイリオ" panose="020B0604030504040204" pitchFamily="34" charset="-128"/>
                    <a:ea typeface="メイリオ" panose="020B0604030504040204" pitchFamily="34" charset="-128"/>
                  </a:rPr>
                  <a:t>クラスターサイズ</a:t>
                </a:r>
              </a:p>
            </c:rich>
          </c:tx>
          <c:layout>
            <c:manualLayout>
              <c:xMode val="edge"/>
              <c:yMode val="edge"/>
              <c:x val="0.4580264654418198"/>
              <c:y val="0.871620370370370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3194752"/>
        <c:crosses val="autoZero"/>
        <c:auto val="1"/>
        <c:lblAlgn val="ctr"/>
        <c:lblOffset val="100"/>
        <c:noMultiLvlLbl val="0"/>
      </c:catAx>
      <c:valAx>
        <c:axId val="1933194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ysClr val="windowText" lastClr="000000"/>
                    </a:solidFill>
                  </a:rPr>
                  <a:t>空孔数</a:t>
                </a:r>
                <a:r>
                  <a:rPr lang="en-US" altLang="ja-JP">
                    <a:solidFill>
                      <a:sysClr val="windowText" lastClr="000000"/>
                    </a:solidFill>
                  </a:rPr>
                  <a:t>(</a:t>
                </a:r>
                <a:r>
                  <a:rPr lang="ja-JP" altLang="en-US">
                    <a:solidFill>
                      <a:sysClr val="windowText" lastClr="000000"/>
                    </a:solidFill>
                  </a:rPr>
                  <a:t>個</a:t>
                </a:r>
                <a:r>
                  <a:rPr lang="en-US" altLang="ja-JP">
                    <a:solidFill>
                      <a:sysClr val="windowText" lastClr="000000"/>
                    </a:solidFill>
                  </a:rPr>
                  <a:t>)</a:t>
                </a:r>
                <a:endParaRPr lang="ja-JP" altLang="en-US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3185152"/>
        <c:crosses val="autoZero"/>
        <c:crossBetween val="between"/>
      </c:valAx>
      <c:valAx>
        <c:axId val="173560792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5606000"/>
        <c:crosses val="max"/>
        <c:crossBetween val="between"/>
      </c:valAx>
      <c:catAx>
        <c:axId val="1735606000"/>
        <c:scaling>
          <c:orientation val="minMax"/>
        </c:scaling>
        <c:delete val="0"/>
        <c:axPos val="t"/>
        <c:majorTickMark val="none"/>
        <c:minorTickMark val="none"/>
        <c:tickLblPos val="none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560792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メイリオ" panose="020B0604030504040204" pitchFamily="34" charset="-128"/>
                <a:ea typeface="メイリオ" panose="020B0604030504040204" pitchFamily="34" charset="-128"/>
                <a:cs typeface="+mn-cs"/>
              </a:defRPr>
            </a:pPr>
            <a:r>
              <a:rPr lang="ja-JP" altLang="en-US">
                <a:latin typeface="メイリオ" panose="020B0604030504040204" pitchFamily="34" charset="-128"/>
                <a:ea typeface="メイリオ" panose="020B0604030504040204" pitchFamily="34" charset="-128"/>
              </a:rPr>
              <a:t>空孔数解析</a:t>
            </a:r>
            <a:endParaRPr lang="en-US" altLang="ja-JP">
              <a:latin typeface="メイリオ" panose="020B0604030504040204" pitchFamily="34" charset="-128"/>
              <a:ea typeface="メイリオ" panose="020B0604030504040204" pitchFamily="34" charset="-128"/>
            </a:endParaRPr>
          </a:p>
          <a:p>
            <a:pPr>
              <a:defRPr>
                <a:latin typeface="メイリオ" panose="020B0604030504040204" pitchFamily="34" charset="-128"/>
                <a:ea typeface="メイリオ" panose="020B0604030504040204" pitchFamily="34" charset="-128"/>
              </a:defRPr>
            </a:pPr>
            <a:r>
              <a:rPr lang="ja-JP" altLang="en-US">
                <a:latin typeface="メイリオ" panose="020B0604030504040204" pitchFamily="34" charset="-128"/>
                <a:ea typeface="メイリオ" panose="020B0604030504040204" pitchFamily="34" charset="-128"/>
              </a:rPr>
              <a:t>クラスターサイズ</a:t>
            </a:r>
            <a:r>
              <a:rPr lang="en-US" altLang="ja-JP">
                <a:latin typeface="メイリオ" panose="020B0604030504040204" pitchFamily="34" charset="-128"/>
                <a:ea typeface="メイリオ" panose="020B0604030504040204" pitchFamily="34" charset="-128"/>
              </a:rPr>
              <a:t>10</a:t>
            </a:r>
            <a:endParaRPr lang="ja-JP" altLang="en-US">
              <a:latin typeface="メイリオ" panose="020B0604030504040204" pitchFamily="34" charset="-128"/>
              <a:ea typeface="メイリオ" panose="020B0604030504040204" pitchFamily="34" charset="-12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メイリオ" panose="020B0604030504040204" pitchFamily="34" charset="-128"/>
              <a:ea typeface="メイリオ" panose="020B0604030504040204" pitchFamily="34" charset="-128"/>
              <a:cs typeface="+mn-cs"/>
            </a:defRPr>
          </a:pPr>
          <a:endParaRPr lang="en-US" alt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38100">
              <a:noFill/>
            </a:ln>
            <a:effectLst/>
          </c:spPr>
          <c:invertIfNegative val="0"/>
          <c:cat>
            <c:strRef>
              <c:f>Sheet1!$A$35:$A$36</c:f>
              <c:strCache>
                <c:ptCount val="2"/>
                <c:pt idx="0">
                  <c:v>50keV</c:v>
                </c:pt>
                <c:pt idx="1">
                  <c:v>70keV</c:v>
                </c:pt>
              </c:strCache>
            </c:strRef>
          </c:cat>
          <c:val>
            <c:numRef>
              <c:f>Sheet1!$F$35:$F$36</c:f>
              <c:numCache>
                <c:formatCode>General</c:formatCode>
                <c:ptCount val="2"/>
                <c:pt idx="0">
                  <c:v>2986.6666666666665</c:v>
                </c:pt>
                <c:pt idx="1">
                  <c:v>3322.6666666666665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1-4F4C-A124-9A761D0F0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8744735"/>
        <c:axId val="1468745215"/>
      </c:barChart>
      <c:barChart>
        <c:barDir val="col"/>
        <c:grouping val="clustered"/>
        <c:varyColors val="0"/>
        <c:ser>
          <c:idx val="1"/>
          <c:order val="1"/>
          <c:tx>
            <c:v>dami</c:v>
          </c:tx>
          <c:spPr>
            <a:noFill/>
            <a:ln>
              <a:noFill/>
            </a:ln>
            <a:effectLst/>
          </c:spPr>
          <c:invertIfNegative val="0"/>
          <c:val>
            <c:numRef>
              <c:f>Sheet1!$E$35:$E$36</c:f>
              <c:numCache>
                <c:formatCode>General</c:formatCode>
                <c:ptCount val="2"/>
                <c:pt idx="0">
                  <c:v>2723</c:v>
                </c:pt>
                <c:pt idx="1">
                  <c:v>3423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1-4F4C-A124-9A761D0F0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3153967"/>
        <c:axId val="2053152527"/>
      </c:barChart>
      <c:catAx>
        <c:axId val="146874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メイリオ" panose="020B0604030504040204" pitchFamily="34" charset="-128"/>
                    <a:ea typeface="メイリオ" panose="020B0604030504040204" pitchFamily="34" charset="-128"/>
                    <a:cs typeface="+mn-cs"/>
                  </a:defRPr>
                </a:pPr>
                <a:r>
                  <a:rPr lang="ja-JP" altLang="en-US">
                    <a:latin typeface="メイリオ" panose="020B0604030504040204" pitchFamily="34" charset="-128"/>
                    <a:ea typeface="メイリオ" panose="020B0604030504040204" pitchFamily="34" charset="-128"/>
                  </a:rPr>
                  <a:t>加速電圧</a:t>
                </a:r>
                <a:r>
                  <a:rPr lang="en-US" altLang="ja-JP">
                    <a:latin typeface="メイリオ" panose="020B0604030504040204" pitchFamily="34" charset="-128"/>
                    <a:ea typeface="メイリオ" panose="020B0604030504040204" pitchFamily="34" charset="-128"/>
                  </a:rPr>
                  <a:t>(keV)</a:t>
                </a:r>
                <a:endParaRPr lang="ja-JP" altLang="en-US">
                  <a:latin typeface="メイリオ" panose="020B0604030504040204" pitchFamily="34" charset="-128"/>
                  <a:ea typeface="メイリオ" panose="020B0604030504040204" pitchFamily="34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メイリオ" panose="020B0604030504040204" pitchFamily="34" charset="-128"/>
                  <a:ea typeface="メイリオ" panose="020B0604030504040204" pitchFamily="34" charset="-128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メイリオ" panose="020B0604030504040204" pitchFamily="34" charset="-128"/>
                <a:ea typeface="メイリオ" panose="020B0604030504040204" pitchFamily="34" charset="-128"/>
                <a:cs typeface="+mn-cs"/>
              </a:defRPr>
            </a:pPr>
            <a:endParaRPr lang="ja-JP"/>
          </a:p>
        </c:txPr>
        <c:crossAx val="1468745215"/>
        <c:crosses val="autoZero"/>
        <c:auto val="1"/>
        <c:lblAlgn val="ctr"/>
        <c:lblOffset val="100"/>
        <c:tickMarkSkip val="1"/>
        <c:noMultiLvlLbl val="0"/>
      </c:catAx>
      <c:valAx>
        <c:axId val="14687452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メイリオ" panose="020B0604030504040204" pitchFamily="34" charset="-128"/>
                    <a:ea typeface="メイリオ" panose="020B0604030504040204" pitchFamily="34" charset="-128"/>
                    <a:cs typeface="+mn-cs"/>
                  </a:defRPr>
                </a:pPr>
                <a:r>
                  <a:rPr lang="ja-JP" altLang="en-US">
                    <a:latin typeface="メイリオ" panose="020B0604030504040204" pitchFamily="34" charset="-128"/>
                    <a:ea typeface="メイリオ" panose="020B0604030504040204" pitchFamily="34" charset="-128"/>
                  </a:rPr>
                  <a:t>空孔数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メイリオ" panose="020B0604030504040204" pitchFamily="34" charset="-128"/>
                  <a:ea typeface="メイリオ" panose="020B0604030504040204" pitchFamily="34" charset="-128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メイリオ" panose="020B0604030504040204" pitchFamily="34" charset="-128"/>
                <a:ea typeface="メイリオ" panose="020B0604030504040204" pitchFamily="34" charset="-128"/>
                <a:cs typeface="+mn-cs"/>
              </a:defRPr>
            </a:pPr>
            <a:endParaRPr lang="ja-JP"/>
          </a:p>
        </c:txPr>
        <c:crossAx val="1468744735"/>
        <c:crosses val="autoZero"/>
        <c:crossBetween val="between"/>
      </c:valAx>
      <c:valAx>
        <c:axId val="205315252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3153967"/>
        <c:crosses val="max"/>
        <c:crossBetween val="between"/>
      </c:valAx>
      <c:catAx>
        <c:axId val="2053153967"/>
        <c:scaling>
          <c:orientation val="minMax"/>
        </c:scaling>
        <c:delete val="0"/>
        <c:axPos val="t"/>
        <c:majorTickMark val="none"/>
        <c:minorTickMark val="none"/>
        <c:tickLblPos val="none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3152527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>
                <a:solidFill>
                  <a:sysClr val="windowText" lastClr="000000"/>
                </a:solidFill>
              </a:rPr>
              <a:t>7keV/atom</a:t>
            </a:r>
          </a:p>
        </c:rich>
      </c:tx>
      <c:layout>
        <c:manualLayout>
          <c:xMode val="edge"/>
          <c:yMode val="edge"/>
          <c:x val="0.43722607489597787"/>
          <c:y val="5.35714285714285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 w="12700">
              <a:solidFill>
                <a:sysClr val="windowText" lastClr="000000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 w="12700" cap="rnd">
                <a:solidFill>
                  <a:sysClr val="windowText" lastClr="0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05-4A73-BD82-C51B02B66A11}"/>
              </c:ext>
            </c:extLst>
          </c:dPt>
          <c:cat>
            <c:numRef>
              <c:f>Sheet1!$B$59:$B$60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Sheet1!$F$59:$F$60</c:f>
              <c:numCache>
                <c:formatCode>General</c:formatCode>
                <c:ptCount val="2"/>
                <c:pt idx="0">
                  <c:v>1.3333333333333333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05-4A73-BD82-C51B02B66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1300416"/>
        <c:axId val="318158400"/>
      </c:barChart>
      <c:barChart>
        <c:barDir val="col"/>
        <c:grouping val="clustered"/>
        <c:varyColors val="0"/>
        <c:ser>
          <c:idx val="1"/>
          <c:order val="1"/>
          <c:tx>
            <c:v>dami</c:v>
          </c:tx>
          <c:spPr>
            <a:noFill/>
            <a:ln>
              <a:noFill/>
            </a:ln>
            <a:effectLst/>
          </c:spPr>
          <c:invertIfNegative val="0"/>
          <c:val>
            <c:numRef>
              <c:f>Sheet1!$F$59</c:f>
              <c:numCache>
                <c:formatCode>General</c:formatCode>
                <c:ptCount val="1"/>
                <c:pt idx="0">
                  <c:v>1.3333333333333333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CE-4784-AE3A-C8A16A2C2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6262783"/>
        <c:axId val="816256063"/>
      </c:barChart>
      <c:catAx>
        <c:axId val="321300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クラスターサイズ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18158400"/>
        <c:crosses val="autoZero"/>
        <c:auto val="1"/>
        <c:lblAlgn val="ctr"/>
        <c:lblOffset val="100"/>
        <c:noMultiLvlLbl val="1"/>
      </c:catAx>
      <c:valAx>
        <c:axId val="318158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000" b="0" i="0" u="none" strike="noStrike" kern="1200" baseline="0" dirty="0">
                    <a:solidFill>
                      <a:sysClr val="windowText" lastClr="000000"/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NV</a:t>
                </a:r>
                <a:r>
                  <a:rPr lang="ja-JP" altLang="en-US" sz="1000" b="0" i="0" u="none" strike="noStrike" kern="1200" baseline="0" dirty="0">
                    <a:solidFill>
                      <a:sysClr val="windowText" lastClr="000000"/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センター良条件下のペア数</a:t>
                </a:r>
                <a:r>
                  <a:rPr lang="en-US" altLang="ja-JP" sz="1000" b="0" i="0" u="none" strike="noStrike" kern="1200" baseline="0" dirty="0">
                    <a:solidFill>
                      <a:sysClr val="windowText" lastClr="000000"/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(</a:t>
                </a:r>
                <a:r>
                  <a:rPr lang="ja-JP" altLang="en-US" sz="1000" b="0" i="0" u="none" strike="noStrike" kern="1200" baseline="0" dirty="0">
                    <a:solidFill>
                      <a:sysClr val="windowText" lastClr="000000"/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個</a:t>
                </a:r>
                <a:r>
                  <a:rPr lang="en-US" altLang="ja-JP" sz="1000" b="0" i="0" u="none" strike="noStrike" kern="1200" baseline="0" dirty="0">
                    <a:solidFill>
                      <a:sysClr val="windowText" lastClr="000000"/>
                    </a:solidFill>
                    <a:latin typeface="Meiryo" panose="020B0604030504040204" pitchFamily="34" charset="-128"/>
                    <a:ea typeface="Meiryo" panose="020B0604030504040204" pitchFamily="34" charset="-128"/>
                  </a:rPr>
                  <a:t>)</a:t>
                </a:r>
                <a:endParaRPr lang="ja-JP" altLang="en-US" sz="1000" b="0" i="0" u="none" strike="noStrike" kern="1200" baseline="0" dirty="0">
                  <a:solidFill>
                    <a:sysClr val="windowText" lastClr="000000"/>
                  </a:solidFill>
                  <a:latin typeface="Meiryo" panose="020B0604030504040204" pitchFamily="34" charset="-128"/>
                  <a:ea typeface="Meiryo" panose="020B0604030504040204" pitchFamily="34" charset="-128"/>
                </a:endParaRPr>
              </a:p>
            </c:rich>
          </c:tx>
          <c:layout>
            <c:manualLayout>
              <c:xMode val="edge"/>
              <c:yMode val="edge"/>
              <c:x val="2.7777777777777776E-2"/>
              <c:y val="0.129514071157771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1300416"/>
        <c:crosses val="autoZero"/>
        <c:crossBetween val="between"/>
      </c:valAx>
      <c:valAx>
        <c:axId val="81625606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solidFill>
            <a:sysClr val="windowText" lastClr="000000"/>
          </a:solidFill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6262783"/>
        <c:crosses val="max"/>
        <c:crossBetween val="between"/>
      </c:valAx>
      <c:catAx>
        <c:axId val="816262783"/>
        <c:scaling>
          <c:orientation val="minMax"/>
        </c:scaling>
        <c:delete val="0"/>
        <c:axPos val="t"/>
        <c:majorTickMark val="none"/>
        <c:minorTickMark val="none"/>
        <c:tickLblPos val="none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6256063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0</xdr:row>
      <xdr:rowOff>107950</xdr:rowOff>
    </xdr:from>
    <xdr:to>
      <xdr:col>12</xdr:col>
      <xdr:colOff>187325</xdr:colOff>
      <xdr:row>12</xdr:row>
      <xdr:rowOff>107950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F3BC29D-9942-DCCD-737C-1E23EB467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222250</xdr:colOff>
      <xdr:row>0</xdr:row>
      <xdr:rowOff>139700</xdr:rowOff>
    </xdr:from>
    <xdr:to>
      <xdr:col>19</xdr:col>
      <xdr:colOff>171450</xdr:colOff>
      <xdr:row>12</xdr:row>
      <xdr:rowOff>139700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032EF24-43EE-45B6-A08B-4665A5380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358775</xdr:colOff>
      <xdr:row>14</xdr:row>
      <xdr:rowOff>165100</xdr:rowOff>
    </xdr:from>
    <xdr:to>
      <xdr:col>12</xdr:col>
      <xdr:colOff>381000</xdr:colOff>
      <xdr:row>29</xdr:row>
      <xdr:rowOff>209550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8AA618F-787C-D13E-20E7-DFCAE5305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111125</xdr:colOff>
      <xdr:row>29</xdr:row>
      <xdr:rowOff>95250</xdr:rowOff>
    </xdr:from>
    <xdr:to>
      <xdr:col>19</xdr:col>
      <xdr:colOff>60325</xdr:colOff>
      <xdr:row>41</xdr:row>
      <xdr:rowOff>95250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203C6698-59BC-9542-DD43-18A979482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133350</xdr:colOff>
      <xdr:row>35</xdr:row>
      <xdr:rowOff>7798</xdr:rowOff>
    </xdr:from>
    <xdr:to>
      <xdr:col>13</xdr:col>
      <xdr:colOff>393700</xdr:colOff>
      <xdr:row>52</xdr:row>
      <xdr:rowOff>77648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6B26A6E6-0951-4C2D-8931-6FCA5B838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499200</xdr:colOff>
      <xdr:row>15</xdr:row>
      <xdr:rowOff>44338</xdr:rowOff>
    </xdr:from>
    <xdr:to>
      <xdr:col>19</xdr:col>
      <xdr:colOff>448400</xdr:colOff>
      <xdr:row>27</xdr:row>
      <xdr:rowOff>44339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648ADBB8-0B9A-41F9-9CC9-3560A18B28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44449</xdr:colOff>
      <xdr:row>29</xdr:row>
      <xdr:rowOff>95250</xdr:rowOff>
    </xdr:from>
    <xdr:to>
      <xdr:col>21</xdr:col>
      <xdr:colOff>568324</xdr:colOff>
      <xdr:row>38</xdr:row>
      <xdr:rowOff>76200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77537D6-AE77-6651-2787-40EBBDEAF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288925</xdr:colOff>
      <xdr:row>38</xdr:row>
      <xdr:rowOff>139700</xdr:rowOff>
    </xdr:from>
    <xdr:to>
      <xdr:col>7</xdr:col>
      <xdr:colOff>238125</xdr:colOff>
      <xdr:row>50</xdr:row>
      <xdr:rowOff>139700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E60B887D-F029-0323-0BBD-3E0F4AF7E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216512</xdr:colOff>
      <xdr:row>53</xdr:row>
      <xdr:rowOff>149503</xdr:rowOff>
    </xdr:from>
    <xdr:to>
      <xdr:col>10</xdr:col>
      <xdr:colOff>521368</xdr:colOff>
      <xdr:row>66</xdr:row>
      <xdr:rowOff>17157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C1D08190-8ED4-234A-131E-9A37B4C39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6350</xdr:colOff>
      <xdr:row>63</xdr:row>
      <xdr:rowOff>222222</xdr:rowOff>
    </xdr:from>
    <xdr:to>
      <xdr:col>6</xdr:col>
      <xdr:colOff>0</xdr:colOff>
      <xdr:row>65</xdr:row>
      <xdr:rowOff>6364</xdr:rowOff>
    </xdr:to>
    <xdr:sp macro="" textlink="">
      <xdr:nvSpPr>
        <xdr:cNvPr id="11" name="フリーフォーム: 図形 10">
          <a:extLst>
            <a:ext uri="{FF2B5EF4-FFF2-40B4-BE49-F238E27FC236}">
              <a16:creationId xmlns:a16="http://schemas.microsoft.com/office/drawing/2014/main" id="{4A334278-C981-CE94-2714-E6C62D361DC3}"/>
            </a:ext>
          </a:extLst>
        </xdr:cNvPr>
        <xdr:cNvSpPr/>
      </xdr:nvSpPr>
      <xdr:spPr>
        <a:xfrm>
          <a:off x="1327150" y="14624022"/>
          <a:ext cx="2635250" cy="241342"/>
        </a:xfrm>
        <a:custGeom>
          <a:avLst/>
          <a:gdLst>
            <a:gd name="csX0" fmla="*/ 0 w 2635250"/>
            <a:gd name="csY0" fmla="*/ 228628 h 241342"/>
            <a:gd name="csX1" fmla="*/ 635000 w 2635250"/>
            <a:gd name="csY1" fmla="*/ 28 h 241342"/>
            <a:gd name="csX2" fmla="*/ 1308100 w 2635250"/>
            <a:gd name="csY2" fmla="*/ 241328 h 241342"/>
            <a:gd name="csX3" fmla="*/ 1968500 w 2635250"/>
            <a:gd name="csY3" fmla="*/ 12728 h 241342"/>
            <a:gd name="csX4" fmla="*/ 2635250 w 2635250"/>
            <a:gd name="csY4" fmla="*/ 234978 h 241342"/>
            <a:gd name="csX5" fmla="*/ 2635250 w 2635250"/>
            <a:gd name="csY5" fmla="*/ 234978 h 24134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2635250" h="241342">
              <a:moveTo>
                <a:pt x="0" y="228628"/>
              </a:moveTo>
              <a:cubicBezTo>
                <a:pt x="208491" y="113269"/>
                <a:pt x="416983" y="-2089"/>
                <a:pt x="635000" y="28"/>
              </a:cubicBezTo>
              <a:cubicBezTo>
                <a:pt x="853017" y="2145"/>
                <a:pt x="1085850" y="239211"/>
                <a:pt x="1308100" y="241328"/>
              </a:cubicBezTo>
              <a:cubicBezTo>
                <a:pt x="1530350" y="243445"/>
                <a:pt x="1747308" y="13786"/>
                <a:pt x="1968500" y="12728"/>
              </a:cubicBezTo>
              <a:cubicBezTo>
                <a:pt x="2189692" y="11670"/>
                <a:pt x="2635250" y="234978"/>
                <a:pt x="2635250" y="234978"/>
              </a:cubicBezTo>
              <a:lnTo>
                <a:pt x="2635250" y="234978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200E-3AC0-4B96-841B-DFF2066B711B}">
  <dimension ref="A2:K60"/>
  <sheetViews>
    <sheetView tabSelected="1" zoomScale="57" workbookViewId="0">
      <selection activeCell="F15" sqref="F15"/>
    </sheetView>
  </sheetViews>
  <sheetFormatPr defaultRowHeight="18"/>
  <sheetData>
    <row r="2" spans="3:5">
      <c r="D2" t="s">
        <v>2</v>
      </c>
      <c r="E2" t="s">
        <v>3</v>
      </c>
    </row>
    <row r="3" spans="3:5">
      <c r="C3" t="s">
        <v>0</v>
      </c>
      <c r="D3">
        <v>0.5</v>
      </c>
      <c r="E3">
        <v>9.2200000000000006</v>
      </c>
    </row>
    <row r="4" spans="3:5">
      <c r="C4" t="s">
        <v>0</v>
      </c>
      <c r="D4">
        <v>5</v>
      </c>
      <c r="E4">
        <v>38.409999999999997</v>
      </c>
    </row>
    <row r="5" spans="3:5">
      <c r="C5" t="s">
        <v>0</v>
      </c>
      <c r="D5">
        <v>7</v>
      </c>
      <c r="E5">
        <v>47.35</v>
      </c>
    </row>
    <row r="6" spans="3:5">
      <c r="C6" t="s">
        <v>1</v>
      </c>
      <c r="D6">
        <v>5</v>
      </c>
      <c r="E6">
        <v>98.86</v>
      </c>
    </row>
    <row r="7" spans="3:5">
      <c r="C7" t="s">
        <v>1</v>
      </c>
      <c r="D7">
        <v>7</v>
      </c>
      <c r="E7">
        <v>129.9</v>
      </c>
    </row>
    <row r="17" spans="1:11">
      <c r="C17" t="s">
        <v>9</v>
      </c>
    </row>
    <row r="18" spans="1:11">
      <c r="C18" t="s">
        <v>4</v>
      </c>
      <c r="D18" t="s">
        <v>5</v>
      </c>
      <c r="E18" t="s">
        <v>6</v>
      </c>
      <c r="F18" t="s">
        <v>7</v>
      </c>
      <c r="G18" t="s">
        <v>8</v>
      </c>
    </row>
    <row r="19" spans="1:11">
      <c r="C19">
        <v>2</v>
      </c>
      <c r="D19">
        <v>0</v>
      </c>
      <c r="E19">
        <v>0</v>
      </c>
      <c r="F19">
        <v>0</v>
      </c>
      <c r="G19">
        <v>0.1</v>
      </c>
    </row>
    <row r="20" spans="1:11">
      <c r="C20">
        <v>5</v>
      </c>
      <c r="D20">
        <v>0</v>
      </c>
      <c r="E20">
        <v>0</v>
      </c>
      <c r="F20">
        <v>0</v>
      </c>
      <c r="G20">
        <v>0.1</v>
      </c>
    </row>
    <row r="21" spans="1:11">
      <c r="C21">
        <v>8</v>
      </c>
      <c r="D21">
        <v>0</v>
      </c>
      <c r="E21">
        <v>0</v>
      </c>
      <c r="F21">
        <v>0</v>
      </c>
      <c r="G21">
        <v>0.1</v>
      </c>
    </row>
    <row r="22" spans="1:11">
      <c r="C22">
        <v>9</v>
      </c>
      <c r="D22">
        <v>0</v>
      </c>
      <c r="E22">
        <v>8</v>
      </c>
      <c r="F22">
        <v>4</v>
      </c>
      <c r="G22">
        <f t="shared" ref="G22:G24" si="0">AVERAGE(D22:F22)</f>
        <v>4</v>
      </c>
    </row>
    <row r="23" spans="1:11">
      <c r="C23">
        <v>10</v>
      </c>
      <c r="D23">
        <v>0</v>
      </c>
      <c r="E23">
        <v>7</v>
      </c>
      <c r="F23">
        <v>5</v>
      </c>
      <c r="G23">
        <f t="shared" si="0"/>
        <v>4</v>
      </c>
    </row>
    <row r="24" spans="1:11">
      <c r="B24" t="s">
        <v>16</v>
      </c>
      <c r="C24">
        <v>10</v>
      </c>
      <c r="D24">
        <v>1</v>
      </c>
      <c r="E24">
        <v>2</v>
      </c>
      <c r="F24">
        <v>0</v>
      </c>
      <c r="G24">
        <f t="shared" si="0"/>
        <v>1</v>
      </c>
    </row>
    <row r="28" spans="1:11">
      <c r="A28" t="s">
        <v>12</v>
      </c>
    </row>
    <row r="29" spans="1:11">
      <c r="A29" t="s">
        <v>4</v>
      </c>
      <c r="B29" t="s">
        <v>14</v>
      </c>
      <c r="C29" t="s">
        <v>13</v>
      </c>
      <c r="D29" t="s">
        <v>15</v>
      </c>
      <c r="E29" t="s">
        <v>8</v>
      </c>
    </row>
    <row r="30" spans="1:11">
      <c r="A30">
        <v>2</v>
      </c>
      <c r="B30">
        <v>120</v>
      </c>
      <c r="C30">
        <v>113</v>
      </c>
      <c r="D30">
        <v>125</v>
      </c>
      <c r="E30">
        <f>AVERAGE(B30:D30)</f>
        <v>119.33333333333333</v>
      </c>
      <c r="J30" t="s">
        <v>10</v>
      </c>
    </row>
    <row r="31" spans="1:11">
      <c r="A31">
        <v>5</v>
      </c>
      <c r="B31">
        <v>479</v>
      </c>
      <c r="C31">
        <v>666</v>
      </c>
      <c r="D31">
        <v>546</v>
      </c>
      <c r="E31">
        <f t="shared" ref="E31:E34" si="1">AVERAGE(B31:D31)</f>
        <v>563.66666666666663</v>
      </c>
      <c r="J31" t="s">
        <v>11</v>
      </c>
    </row>
    <row r="32" spans="1:11">
      <c r="A32">
        <v>8</v>
      </c>
      <c r="B32">
        <v>1996</v>
      </c>
      <c r="C32">
        <v>2034</v>
      </c>
      <c r="D32">
        <v>2779</v>
      </c>
      <c r="E32">
        <f t="shared" si="1"/>
        <v>2269.6666666666665</v>
      </c>
      <c r="J32">
        <v>50</v>
      </c>
      <c r="K32">
        <v>1</v>
      </c>
    </row>
    <row r="33" spans="1:11">
      <c r="A33">
        <v>9</v>
      </c>
      <c r="B33">
        <v>1817</v>
      </c>
      <c r="C33">
        <v>3229</v>
      </c>
      <c r="D33">
        <v>2457</v>
      </c>
      <c r="E33">
        <f t="shared" si="1"/>
        <v>2501</v>
      </c>
      <c r="J33">
        <v>70</v>
      </c>
      <c r="K33">
        <v>4</v>
      </c>
    </row>
    <row r="34" spans="1:11">
      <c r="A34">
        <v>10</v>
      </c>
      <c r="B34">
        <v>4448</v>
      </c>
      <c r="C34">
        <v>2097</v>
      </c>
      <c r="D34">
        <v>3423</v>
      </c>
      <c r="E34">
        <f t="shared" si="1"/>
        <v>3322.6666666666665</v>
      </c>
    </row>
    <row r="35" spans="1:11">
      <c r="A35" t="s">
        <v>16</v>
      </c>
      <c r="B35">
        <v>10</v>
      </c>
      <c r="C35">
        <v>4314</v>
      </c>
      <c r="D35">
        <v>1923</v>
      </c>
      <c r="E35">
        <v>2723</v>
      </c>
      <c r="F35">
        <f t="shared" ref="F35:F36" si="2">AVERAGE(C35:E35)</f>
        <v>2986.6666666666665</v>
      </c>
    </row>
    <row r="36" spans="1:11">
      <c r="A36" t="s">
        <v>17</v>
      </c>
      <c r="B36">
        <v>10</v>
      </c>
      <c r="C36">
        <v>4448</v>
      </c>
      <c r="D36">
        <v>2097</v>
      </c>
      <c r="E36">
        <v>3423</v>
      </c>
      <c r="F36">
        <f t="shared" si="2"/>
        <v>3322.6666666666665</v>
      </c>
    </row>
    <row r="55" spans="1:6">
      <c r="B55" t="s">
        <v>22</v>
      </c>
    </row>
    <row r="56" spans="1:6">
      <c r="B56" t="s">
        <v>18</v>
      </c>
    </row>
    <row r="57" spans="1:6">
      <c r="A57" t="s">
        <v>19</v>
      </c>
      <c r="B57">
        <v>1</v>
      </c>
      <c r="C57">
        <v>10</v>
      </c>
      <c r="D57">
        <v>9</v>
      </c>
      <c r="E57">
        <v>18</v>
      </c>
      <c r="F57">
        <f t="shared" ref="F57:F58" si="3">AVERAGE(C57:E57)</f>
        <v>12.333333333333334</v>
      </c>
    </row>
    <row r="58" spans="1:6">
      <c r="B58">
        <v>10</v>
      </c>
      <c r="C58">
        <v>0</v>
      </c>
      <c r="D58">
        <v>7</v>
      </c>
      <c r="E58">
        <v>5</v>
      </c>
      <c r="F58">
        <f t="shared" si="3"/>
        <v>4</v>
      </c>
    </row>
    <row r="59" spans="1:6">
      <c r="A59" t="s">
        <v>20</v>
      </c>
      <c r="B59">
        <v>5</v>
      </c>
      <c r="C59">
        <v>0</v>
      </c>
      <c r="D59">
        <v>3</v>
      </c>
      <c r="E59">
        <v>1</v>
      </c>
      <c r="F59">
        <f>AVERAGE(C59:E59)</f>
        <v>1.3333333333333333</v>
      </c>
    </row>
    <row r="60" spans="1:6">
      <c r="A60" t="s">
        <v>21</v>
      </c>
      <c r="B60">
        <v>10</v>
      </c>
      <c r="C60">
        <v>0</v>
      </c>
      <c r="D60">
        <v>7</v>
      </c>
      <c r="E60">
        <v>5</v>
      </c>
      <c r="F60">
        <f t="shared" ref="F60" si="4">AVERAGE(C60:E60)</f>
        <v>4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8BCFB44DC77D2498D6F14B45BE21DB2" ma:contentTypeVersion="15" ma:contentTypeDescription="新しいドキュメントを作成します。" ma:contentTypeScope="" ma:versionID="e1b2cae7251bfd9ad57487423479521f">
  <xsd:schema xmlns:xsd="http://www.w3.org/2001/XMLSchema" xmlns:xs="http://www.w3.org/2001/XMLSchema" xmlns:p="http://schemas.microsoft.com/office/2006/metadata/properties" xmlns:ns3="c2c30385-b13a-4bdd-9952-9c880a7236ee" targetNamespace="http://schemas.microsoft.com/office/2006/metadata/properties" ma:root="true" ma:fieldsID="0a64bf2bc16311d1f2baa71d91c35ee3" ns3:_="">
    <xsd:import namespace="c2c30385-b13a-4bdd-9952-9c880a7236e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30385-b13a-4bdd-9952-9c880a7236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c30385-b13a-4bdd-9952-9c880a7236ee" xsi:nil="true"/>
  </documentManagement>
</p:properties>
</file>

<file path=customXml/itemProps1.xml><?xml version="1.0" encoding="utf-8"?>
<ds:datastoreItem xmlns:ds="http://schemas.openxmlformats.org/officeDocument/2006/customXml" ds:itemID="{021F51EE-09D1-4C9B-903D-236D8108BE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c30385-b13a-4bdd-9952-9c880a7236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A6A72F-9D03-46ED-8191-F8A8FD1190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649D3C-E548-4566-A404-F533D9A36011}">
  <ds:schemaRefs>
    <ds:schemaRef ds:uri="http://purl.org/dc/dcmitype/"/>
    <ds:schemaRef ds:uri="c2c30385-b13a-4bdd-9952-9c880a7236e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224067731</dc:creator>
  <cp:lastModifiedBy>224067731</cp:lastModifiedBy>
  <dcterms:created xsi:type="dcterms:W3CDTF">2026-01-19T10:36:36Z</dcterms:created>
  <dcterms:modified xsi:type="dcterms:W3CDTF">2026-02-17T08:29:43Z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0x01010018BCFB44DC77D2498D6F14B45BE21DB2</vt:lpwstr>
  </property>
</Properties>
</file>